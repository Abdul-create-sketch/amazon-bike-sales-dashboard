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CTI\Desktop\New folder\"/>
    </mc:Choice>
  </mc:AlternateContent>
  <xr:revisionPtr revIDLastSave="0" documentId="13_ncr:1_{F3BB6338-C25C-4C73-AA00-03C5095E91B0}" xr6:coauthVersionLast="47" xr6:coauthVersionMax="47" xr10:uidLastSave="{00000000-0000-0000-0000-000000000000}"/>
  <bookViews>
    <workbookView xWindow="-110" yWindow="-110" windowWidth="19420" windowHeight="10300" xr2:uid="{F483B410-B19C-453D-978A-AB1CC0CFA0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17" i="1" l="1"/>
  <c r="AD5" i="1"/>
  <c r="AD6" i="1"/>
  <c r="AD7" i="1"/>
  <c r="AD8" i="1"/>
  <c r="AD9" i="1"/>
  <c r="AD10" i="1"/>
  <c r="AD11" i="1"/>
  <c r="AD12" i="1"/>
  <c r="AD13" i="1"/>
  <c r="AD14" i="1"/>
  <c r="AD4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D19" i="1"/>
  <c r="D18" i="1"/>
  <c r="D17" i="1"/>
  <c r="Z3" i="1"/>
  <c r="AA3" i="1"/>
  <c r="AB3" i="1" s="1"/>
  <c r="Y3" i="1"/>
  <c r="AB14" i="1"/>
  <c r="Y4" i="1"/>
  <c r="Z4" i="1"/>
  <c r="AA4" i="1"/>
  <c r="AB4" i="1"/>
  <c r="Y5" i="1"/>
  <c r="Z5" i="1"/>
  <c r="AA5" i="1"/>
  <c r="AB5" i="1"/>
  <c r="Y6" i="1"/>
  <c r="Z6" i="1"/>
  <c r="AA6" i="1"/>
  <c r="AB6" i="1"/>
  <c r="Y7" i="1"/>
  <c r="Z7" i="1"/>
  <c r="AA7" i="1"/>
  <c r="AB7" i="1"/>
  <c r="Y8" i="1"/>
  <c r="Z8" i="1"/>
  <c r="AA8" i="1"/>
  <c r="AB8" i="1"/>
  <c r="Y9" i="1"/>
  <c r="Z9" i="1"/>
  <c r="AA9" i="1"/>
  <c r="AB9" i="1"/>
  <c r="Y10" i="1"/>
  <c r="Z10" i="1"/>
  <c r="AA10" i="1"/>
  <c r="AB10" i="1"/>
  <c r="Y11" i="1"/>
  <c r="Z11" i="1"/>
  <c r="AA11" i="1"/>
  <c r="AB11" i="1"/>
  <c r="Y12" i="1"/>
  <c r="Z12" i="1"/>
  <c r="AA12" i="1"/>
  <c r="AB12" i="1"/>
  <c r="Y13" i="1"/>
  <c r="Z13" i="1"/>
  <c r="AA13" i="1"/>
  <c r="AB13" i="1"/>
  <c r="Y14" i="1"/>
  <c r="Z14" i="1"/>
  <c r="AA14" i="1"/>
  <c r="X5" i="1"/>
  <c r="X6" i="1"/>
  <c r="X7" i="1"/>
  <c r="X8" i="1"/>
  <c r="X9" i="1"/>
  <c r="X10" i="1"/>
  <c r="X11" i="1"/>
  <c r="X12" i="1"/>
  <c r="X13" i="1"/>
  <c r="X14" i="1"/>
  <c r="S5" i="1"/>
  <c r="T5" i="1"/>
  <c r="U5" i="1"/>
  <c r="V5" i="1"/>
  <c r="W5" i="1"/>
  <c r="S6" i="1"/>
  <c r="T6" i="1"/>
  <c r="U6" i="1"/>
  <c r="V6" i="1"/>
  <c r="W6" i="1"/>
  <c r="S7" i="1"/>
  <c r="T7" i="1"/>
  <c r="U7" i="1"/>
  <c r="V7" i="1"/>
  <c r="W7" i="1"/>
  <c r="S8" i="1"/>
  <c r="T8" i="1"/>
  <c r="U8" i="1"/>
  <c r="V8" i="1"/>
  <c r="W8" i="1"/>
  <c r="S9" i="1"/>
  <c r="T9" i="1"/>
  <c r="U9" i="1"/>
  <c r="V9" i="1"/>
  <c r="W9" i="1"/>
  <c r="S10" i="1"/>
  <c r="T10" i="1"/>
  <c r="U10" i="1"/>
  <c r="V10" i="1"/>
  <c r="W10" i="1"/>
  <c r="S11" i="1"/>
  <c r="T11" i="1"/>
  <c r="U11" i="1"/>
  <c r="V11" i="1"/>
  <c r="W11" i="1"/>
  <c r="S12" i="1"/>
  <c r="T12" i="1"/>
  <c r="U12" i="1"/>
  <c r="V12" i="1"/>
  <c r="W12" i="1"/>
  <c r="S13" i="1"/>
  <c r="T13" i="1"/>
  <c r="U13" i="1"/>
  <c r="V13" i="1"/>
  <c r="W13" i="1"/>
  <c r="S14" i="1"/>
  <c r="T14" i="1"/>
  <c r="U14" i="1"/>
  <c r="V14" i="1"/>
  <c r="W14" i="1"/>
  <c r="T4" i="1"/>
  <c r="U4" i="1"/>
  <c r="V4" i="1"/>
  <c r="W4" i="1"/>
  <c r="S4" i="1"/>
  <c r="U3" i="1"/>
  <c r="V3" i="1" s="1"/>
  <c r="W3" i="1" s="1"/>
  <c r="T3" i="1"/>
  <c r="O4" i="1"/>
  <c r="R4" i="1"/>
  <c r="R5" i="1"/>
  <c r="O6" i="1"/>
  <c r="R6" i="1"/>
  <c r="R7" i="1"/>
  <c r="O8" i="1"/>
  <c r="R8" i="1"/>
  <c r="R9" i="1"/>
  <c r="O10" i="1"/>
  <c r="R10" i="1"/>
  <c r="R11" i="1"/>
  <c r="O12" i="1"/>
  <c r="R12" i="1"/>
  <c r="R13" i="1"/>
  <c r="O14" i="1"/>
  <c r="R14" i="1"/>
  <c r="N7" i="1"/>
  <c r="N8" i="1"/>
  <c r="N14" i="1"/>
  <c r="P3" i="1"/>
  <c r="Q3" i="1" s="1"/>
  <c r="R3" i="1" s="1"/>
  <c r="O3" i="1"/>
  <c r="J4" i="1"/>
  <c r="K4" i="1"/>
  <c r="P4" i="1" s="1"/>
  <c r="L4" i="1"/>
  <c r="Q4" i="1" s="1"/>
  <c r="M4" i="1"/>
  <c r="J5" i="1"/>
  <c r="O5" i="1" s="1"/>
  <c r="K5" i="1"/>
  <c r="P5" i="1" s="1"/>
  <c r="L5" i="1"/>
  <c r="Q5" i="1" s="1"/>
  <c r="M5" i="1"/>
  <c r="J6" i="1"/>
  <c r="K6" i="1"/>
  <c r="P6" i="1" s="1"/>
  <c r="L6" i="1"/>
  <c r="Q6" i="1" s="1"/>
  <c r="M6" i="1"/>
  <c r="J7" i="1"/>
  <c r="O7" i="1" s="1"/>
  <c r="K7" i="1"/>
  <c r="P7" i="1" s="1"/>
  <c r="L7" i="1"/>
  <c r="Q7" i="1" s="1"/>
  <c r="M7" i="1"/>
  <c r="J8" i="1"/>
  <c r="K8" i="1"/>
  <c r="P8" i="1" s="1"/>
  <c r="L8" i="1"/>
  <c r="Q8" i="1" s="1"/>
  <c r="M8" i="1"/>
  <c r="J9" i="1"/>
  <c r="O9" i="1" s="1"/>
  <c r="K9" i="1"/>
  <c r="P9" i="1" s="1"/>
  <c r="L9" i="1"/>
  <c r="Q9" i="1" s="1"/>
  <c r="M9" i="1"/>
  <c r="J10" i="1"/>
  <c r="K10" i="1"/>
  <c r="P10" i="1" s="1"/>
  <c r="L10" i="1"/>
  <c r="Q10" i="1" s="1"/>
  <c r="M10" i="1"/>
  <c r="J11" i="1"/>
  <c r="O11" i="1" s="1"/>
  <c r="K11" i="1"/>
  <c r="P11" i="1" s="1"/>
  <c r="L11" i="1"/>
  <c r="Q11" i="1" s="1"/>
  <c r="M11" i="1"/>
  <c r="J12" i="1"/>
  <c r="K12" i="1"/>
  <c r="P12" i="1" s="1"/>
  <c r="L12" i="1"/>
  <c r="Q12" i="1" s="1"/>
  <c r="M12" i="1"/>
  <c r="J13" i="1"/>
  <c r="O13" i="1" s="1"/>
  <c r="K13" i="1"/>
  <c r="P13" i="1" s="1"/>
  <c r="L13" i="1"/>
  <c r="Q13" i="1" s="1"/>
  <c r="M13" i="1"/>
  <c r="J14" i="1"/>
  <c r="K14" i="1"/>
  <c r="P14" i="1" s="1"/>
  <c r="L14" i="1"/>
  <c r="Q14" i="1" s="1"/>
  <c r="M14" i="1"/>
  <c r="I7" i="1"/>
  <c r="I8" i="1"/>
  <c r="I9" i="1"/>
  <c r="N9" i="1" s="1"/>
  <c r="I10" i="1"/>
  <c r="N10" i="1" s="1"/>
  <c r="I11" i="1"/>
  <c r="N11" i="1" s="1"/>
  <c r="I12" i="1"/>
  <c r="N12" i="1" s="1"/>
  <c r="I13" i="1"/>
  <c r="N13" i="1" s="1"/>
  <c r="I14" i="1"/>
  <c r="I5" i="1"/>
  <c r="N5" i="1" s="1"/>
  <c r="I6" i="1"/>
  <c r="N6" i="1" s="1"/>
  <c r="I4" i="1"/>
  <c r="N4" i="1" s="1"/>
  <c r="J3" i="1"/>
  <c r="K3" i="1" s="1"/>
  <c r="L3" i="1" s="1"/>
  <c r="M3" i="1" s="1"/>
  <c r="E3" i="1"/>
  <c r="F3" i="1" s="1"/>
  <c r="G3" i="1" s="1"/>
  <c r="H3" i="1" s="1"/>
  <c r="X4" i="1" l="1"/>
</calcChain>
</file>

<file path=xl/sharedStrings.xml><?xml version="1.0" encoding="utf-8"?>
<sst xmlns="http://schemas.openxmlformats.org/spreadsheetml/2006/main" count="36" uniqueCount="34">
  <si>
    <t>EMPLOYEE PAYROLL</t>
  </si>
  <si>
    <t>FIRST NAME</t>
  </si>
  <si>
    <t>LAST NAME</t>
  </si>
  <si>
    <t xml:space="preserve">MAHADIA </t>
  </si>
  <si>
    <t>MOHAMMED</t>
  </si>
  <si>
    <t>ABDUL</t>
  </si>
  <si>
    <t>MOHAA</t>
  </si>
  <si>
    <t>CONCY</t>
  </si>
  <si>
    <t>NJOKI</t>
  </si>
  <si>
    <t xml:space="preserve">HALIMA </t>
  </si>
  <si>
    <t>HUSSEIN</t>
  </si>
  <si>
    <t>HABIBA</t>
  </si>
  <si>
    <t>ISSACK</t>
  </si>
  <si>
    <t>ABDI</t>
  </si>
  <si>
    <t>ALIOW</t>
  </si>
  <si>
    <t>MUNIRA</t>
  </si>
  <si>
    <t>JOHN</t>
  </si>
  <si>
    <t>OTHIAMBO</t>
  </si>
  <si>
    <t>AHMED</t>
  </si>
  <si>
    <t>MAHAT</t>
  </si>
  <si>
    <t>NUNOW</t>
  </si>
  <si>
    <t>MOSES</t>
  </si>
  <si>
    <t>ALFAYO</t>
  </si>
  <si>
    <t>HOURLY WAGES</t>
  </si>
  <si>
    <t>PAY</t>
  </si>
  <si>
    <t>OVERTIME BONUS</t>
  </si>
  <si>
    <t>OVERTIME PAY</t>
  </si>
  <si>
    <t>TOTAL PAY</t>
  </si>
  <si>
    <t>DATE</t>
  </si>
  <si>
    <t>MAX</t>
  </si>
  <si>
    <t>MIN</t>
  </si>
  <si>
    <t>AVERAGE</t>
  </si>
  <si>
    <t>TOTAL SPENDING ON EMPLOYEE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</si>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</sst>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Ksh&quot;* #,##0.00_-;\-&quot;Ksh&quot;* #,##0.00_-;_-&quot;Ksh&quot;* &quot;-&quot;??_-;_-@_-"/>
    <numFmt numFmtId="164" formatCode="_-[$$-409]* #,##0.00_ ;_-[$$-409]* \-#,##0.00\ ;_-[$$-409]* &quot;-&quot;??_ ;_-@_ "/>
    <numFmt numFmtId="172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164" fontId="0" fillId="0" borderId="0" xfId="0" applyNumberFormat="1"/>
    <xf numFmtId="0" fontId="0" fillId="2" borderId="0" xfId="0" applyFont="1" applyFill="1"/>
    <xf numFmtId="16" fontId="0" fillId="2" borderId="0" xfId="0" applyNumberFormat="1" applyFont="1" applyFill="1"/>
    <xf numFmtId="164" fontId="0" fillId="2" borderId="0" xfId="0" applyNumberFormat="1" applyFont="1" applyFill="1"/>
    <xf numFmtId="0" fontId="0" fillId="3" borderId="0" xfId="0" applyFill="1"/>
    <xf numFmtId="16" fontId="0" fillId="3" borderId="0" xfId="0" applyNumberFormat="1" applyFill="1"/>
    <xf numFmtId="164" fontId="0" fillId="3" borderId="0" xfId="0" applyNumberFormat="1" applyFill="1"/>
    <xf numFmtId="0" fontId="0" fillId="4" borderId="0" xfId="0" applyFill="1"/>
    <xf numFmtId="16" fontId="0" fillId="4" borderId="0" xfId="0" applyNumberFormat="1" applyFill="1"/>
    <xf numFmtId="164" fontId="0" fillId="4" borderId="0" xfId="0" applyNumberFormat="1" applyFill="1"/>
    <xf numFmtId="0" fontId="0" fillId="2" borderId="0" xfId="0" applyFill="1"/>
    <xf numFmtId="16" fontId="0" fillId="2" borderId="0" xfId="0" applyNumberFormat="1" applyFill="1"/>
    <xf numFmtId="0" fontId="0" fillId="2" borderId="0" xfId="0" applyNumberFormat="1" applyFill="1"/>
    <xf numFmtId="0" fontId="0" fillId="5" borderId="0" xfId="0" applyFill="1"/>
    <xf numFmtId="16" fontId="0" fillId="5" borderId="0" xfId="0" applyNumberFormat="1" applyFill="1"/>
    <xf numFmtId="172" fontId="0" fillId="0" borderId="0" xfId="0" applyNumberFormat="1"/>
    <xf numFmtId="164" fontId="0" fillId="0" borderId="0" xfId="1" applyNumberFormat="1" applyFont="1"/>
    <xf numFmtId="164" fontId="2" fillId="6" borderId="0" xfId="0" applyNumberFormat="1" applyFont="1" applyFill="1"/>
    <xf numFmtId="0" fontId="3" fillId="0" borderId="0" xfId="0" applyFont="1"/>
  </cellXfs>
  <cellStyles count="2">
    <cellStyle name="Currency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90EC2-0046-449F-B0FE-69BA37DA38F0}">
  <sheetPr codeName="Sheet1"/>
  <dimension ref="A1:AD19"/>
  <sheetViews>
    <sheetView tabSelected="1" topLeftCell="O7" zoomScaleNormal="100" workbookViewId="0">
      <selection activeCell="AC18" sqref="AC18"/>
    </sheetView>
  </sheetViews>
  <sheetFormatPr defaultRowHeight="14.5" x14ac:dyDescent="0.35"/>
  <cols>
    <col min="1" max="1" width="17.6328125" bestFit="1" customWidth="1"/>
    <col min="2" max="2" width="12.08984375" bestFit="1" customWidth="1"/>
    <col min="3" max="3" width="14.36328125" bestFit="1" customWidth="1"/>
    <col min="4" max="8" width="7.08984375" bestFit="1" customWidth="1"/>
    <col min="9" max="9" width="16.08984375" bestFit="1" customWidth="1"/>
    <col min="10" max="13" width="7.08984375" bestFit="1" customWidth="1"/>
    <col min="14" max="14" width="13.36328125" bestFit="1" customWidth="1"/>
    <col min="15" max="18" width="7.453125" bestFit="1" customWidth="1"/>
    <col min="19" max="23" width="8.453125" bestFit="1" customWidth="1"/>
    <col min="24" max="24" width="9.81640625" bestFit="1" customWidth="1"/>
    <col min="25" max="28" width="8.453125" bestFit="1" customWidth="1"/>
    <col min="29" max="29" width="9.90625" bestFit="1" customWidth="1"/>
    <col min="30" max="30" width="28" bestFit="1" customWidth="1"/>
  </cols>
  <sheetData>
    <row r="1" spans="1:30" x14ac:dyDescent="0.35">
      <c r="A1" t="s">
        <v>0</v>
      </c>
    </row>
    <row r="2" spans="1:30" x14ac:dyDescent="0.35">
      <c r="D2" s="14" t="s">
        <v>28</v>
      </c>
      <c r="E2" s="14"/>
      <c r="F2" s="14"/>
      <c r="G2" s="14"/>
      <c r="H2" s="14"/>
      <c r="I2" s="11" t="s">
        <v>25</v>
      </c>
      <c r="J2" s="11"/>
      <c r="K2" s="11"/>
      <c r="L2" s="11"/>
      <c r="M2" s="11"/>
      <c r="N2" s="8" t="s">
        <v>26</v>
      </c>
      <c r="O2" s="8"/>
      <c r="P2" s="8"/>
      <c r="Q2" s="8"/>
      <c r="R2" s="8"/>
      <c r="S2" s="5" t="s">
        <v>24</v>
      </c>
      <c r="T2" s="5"/>
      <c r="U2" s="5"/>
      <c r="V2" s="5"/>
      <c r="W2" s="5"/>
      <c r="X2" s="2" t="s">
        <v>27</v>
      </c>
      <c r="Y2" s="2"/>
      <c r="Z2" s="2"/>
      <c r="AA2" s="2"/>
      <c r="AB2" s="2"/>
      <c r="AD2" t="s">
        <v>32</v>
      </c>
    </row>
    <row r="3" spans="1:30" x14ac:dyDescent="0.35">
      <c r="A3" t="s">
        <v>1</v>
      </c>
      <c r="B3" t="s">
        <v>2</v>
      </c>
      <c r="C3" t="s">
        <v>23</v>
      </c>
      <c r="D3" s="15">
        <v>46143</v>
      </c>
      <c r="E3" s="15">
        <f>D3+7</f>
        <v>46150</v>
      </c>
      <c r="F3" s="15">
        <f t="shared" ref="F3:H3" si="0">E3+7</f>
        <v>46157</v>
      </c>
      <c r="G3" s="15">
        <f t="shared" si="0"/>
        <v>46164</v>
      </c>
      <c r="H3" s="15">
        <f t="shared" si="0"/>
        <v>46171</v>
      </c>
      <c r="I3" s="12">
        <v>46143</v>
      </c>
      <c r="J3" s="12">
        <f>I3+7</f>
        <v>46150</v>
      </c>
      <c r="K3" s="12">
        <f t="shared" ref="K3:M3" si="1">J3+7</f>
        <v>46157</v>
      </c>
      <c r="L3" s="12">
        <f t="shared" si="1"/>
        <v>46164</v>
      </c>
      <c r="M3" s="12">
        <f t="shared" si="1"/>
        <v>46171</v>
      </c>
      <c r="N3" s="9">
        <v>46143</v>
      </c>
      <c r="O3" s="9">
        <f>N3+7</f>
        <v>46150</v>
      </c>
      <c r="P3" s="9">
        <f t="shared" ref="P3:R3" si="2">O3+7</f>
        <v>46157</v>
      </c>
      <c r="Q3" s="9">
        <f t="shared" si="2"/>
        <v>46164</v>
      </c>
      <c r="R3" s="9">
        <f t="shared" si="2"/>
        <v>46171</v>
      </c>
      <c r="S3" s="6">
        <v>46143</v>
      </c>
      <c r="T3" s="6">
        <f>S3+7</f>
        <v>46150</v>
      </c>
      <c r="U3" s="6">
        <f t="shared" ref="U3:W3" si="3">T3+7</f>
        <v>46157</v>
      </c>
      <c r="V3" s="6">
        <f t="shared" si="3"/>
        <v>46164</v>
      </c>
      <c r="W3" s="6">
        <f t="shared" si="3"/>
        <v>46171</v>
      </c>
      <c r="X3" s="3">
        <v>46143</v>
      </c>
      <c r="Y3" s="3">
        <f>X3+7</f>
        <v>46150</v>
      </c>
      <c r="Z3" s="3">
        <f t="shared" ref="Z3:AB3" si="4">Y3+7</f>
        <v>46157</v>
      </c>
      <c r="AA3" s="3">
        <f t="shared" si="4"/>
        <v>46164</v>
      </c>
      <c r="AB3" s="3">
        <f t="shared" si="4"/>
        <v>46171</v>
      </c>
    </row>
    <row r="4" spans="1:30" x14ac:dyDescent="0.35">
      <c r="A4" t="s">
        <v>3</v>
      </c>
      <c r="B4" t="s">
        <v>4</v>
      </c>
      <c r="C4" s="1">
        <v>13</v>
      </c>
      <c r="D4" s="14">
        <v>38</v>
      </c>
      <c r="E4" s="14">
        <v>42</v>
      </c>
      <c r="F4" s="14">
        <v>38</v>
      </c>
      <c r="G4" s="14">
        <v>38</v>
      </c>
      <c r="H4" s="14">
        <v>38</v>
      </c>
      <c r="I4" s="13">
        <f>IF(D4&gt;40,D4-40,0)</f>
        <v>0</v>
      </c>
      <c r="J4" s="13">
        <f t="shared" ref="J4:M14" si="5">IF(E4&gt;40,E4-40,0)</f>
        <v>2</v>
      </c>
      <c r="K4" s="13">
        <f t="shared" si="5"/>
        <v>0</v>
      </c>
      <c r="L4" s="13">
        <f t="shared" si="5"/>
        <v>0</v>
      </c>
      <c r="M4" s="13">
        <f t="shared" si="5"/>
        <v>0</v>
      </c>
      <c r="N4" s="10">
        <f>0.5*$C4*I4</f>
        <v>0</v>
      </c>
      <c r="O4" s="10">
        <f t="shared" ref="O4:R14" si="6">0.5*$C4*J4</f>
        <v>13</v>
      </c>
      <c r="P4" s="10">
        <f t="shared" si="6"/>
        <v>0</v>
      </c>
      <c r="Q4" s="10">
        <f t="shared" si="6"/>
        <v>0</v>
      </c>
      <c r="R4" s="10">
        <f t="shared" si="6"/>
        <v>0</v>
      </c>
      <c r="S4" s="7">
        <f>$C4*D4</f>
        <v>494</v>
      </c>
      <c r="T4" s="7">
        <f t="shared" ref="T4:W4" si="7">$C4*E4</f>
        <v>546</v>
      </c>
      <c r="U4" s="7">
        <f t="shared" si="7"/>
        <v>494</v>
      </c>
      <c r="V4" s="7">
        <f t="shared" si="7"/>
        <v>494</v>
      </c>
      <c r="W4" s="7">
        <f t="shared" si="7"/>
        <v>494</v>
      </c>
      <c r="X4" s="4">
        <f>N4+S4</f>
        <v>494</v>
      </c>
      <c r="Y4" s="4">
        <f t="shared" ref="Y4:AC14" si="8">O4+T4</f>
        <v>559</v>
      </c>
      <c r="Z4" s="4">
        <f t="shared" si="8"/>
        <v>494</v>
      </c>
      <c r="AA4" s="4">
        <f t="shared" si="8"/>
        <v>494</v>
      </c>
      <c r="AB4" s="4">
        <f t="shared" si="8"/>
        <v>494</v>
      </c>
      <c r="AC4" s="1"/>
      <c r="AD4" s="1">
        <f>SUM(X4:AB4)</f>
        <v>2535</v>
      </c>
    </row>
    <row r="5" spans="1:30" x14ac:dyDescent="0.35">
      <c r="A5" t="s">
        <v>5</v>
      </c>
      <c r="B5" t="s">
        <v>6</v>
      </c>
      <c r="C5" s="1">
        <v>12</v>
      </c>
      <c r="D5" s="14">
        <v>41</v>
      </c>
      <c r="E5" s="14">
        <v>43</v>
      </c>
      <c r="F5" s="14">
        <v>34</v>
      </c>
      <c r="G5" s="14">
        <v>41</v>
      </c>
      <c r="H5" s="14">
        <v>34</v>
      </c>
      <c r="I5" s="13">
        <f t="shared" ref="I5:I14" si="9">IF(D5&gt;40,D5-40,0)</f>
        <v>1</v>
      </c>
      <c r="J5" s="13">
        <f t="shared" si="5"/>
        <v>3</v>
      </c>
      <c r="K5" s="13">
        <f t="shared" si="5"/>
        <v>0</v>
      </c>
      <c r="L5" s="13">
        <f t="shared" si="5"/>
        <v>1</v>
      </c>
      <c r="M5" s="13">
        <f t="shared" si="5"/>
        <v>0</v>
      </c>
      <c r="N5" s="10">
        <f t="shared" ref="N5:N14" si="10">0.5*$C5*I5</f>
        <v>6</v>
      </c>
      <c r="O5" s="10">
        <f t="shared" si="6"/>
        <v>18</v>
      </c>
      <c r="P5" s="10">
        <f t="shared" si="6"/>
        <v>0</v>
      </c>
      <c r="Q5" s="10">
        <f t="shared" si="6"/>
        <v>6</v>
      </c>
      <c r="R5" s="10">
        <f t="shared" si="6"/>
        <v>0</v>
      </c>
      <c r="S5" s="7">
        <f t="shared" ref="S5:S14" si="11">$C5*D5</f>
        <v>492</v>
      </c>
      <c r="T5" s="7">
        <f t="shared" ref="T5:T14" si="12">$C5*E5</f>
        <v>516</v>
      </c>
      <c r="U5" s="7">
        <f t="shared" ref="U5:U14" si="13">$C5*F5</f>
        <v>408</v>
      </c>
      <c r="V5" s="7">
        <f t="shared" ref="V5:V14" si="14">$C5*G5</f>
        <v>492</v>
      </c>
      <c r="W5" s="7">
        <f t="shared" ref="W5:W14" si="15">$C5*H5</f>
        <v>408</v>
      </c>
      <c r="X5" s="4">
        <f t="shared" ref="X5:X14" si="16">N5+S5</f>
        <v>498</v>
      </c>
      <c r="Y5" s="4">
        <f t="shared" si="8"/>
        <v>534</v>
      </c>
      <c r="Z5" s="4">
        <f t="shared" si="8"/>
        <v>408</v>
      </c>
      <c r="AA5" s="4">
        <f t="shared" si="8"/>
        <v>498</v>
      </c>
      <c r="AB5" s="4">
        <f t="shared" si="8"/>
        <v>408</v>
      </c>
      <c r="AC5" s="1"/>
      <c r="AD5" s="1">
        <f t="shared" ref="AD5:AD14" si="17">SUM(X5:AB5)</f>
        <v>2346</v>
      </c>
    </row>
    <row r="6" spans="1:30" x14ac:dyDescent="0.35">
      <c r="A6" t="s">
        <v>7</v>
      </c>
      <c r="B6" t="s">
        <v>8</v>
      </c>
      <c r="C6" s="1">
        <v>14</v>
      </c>
      <c r="D6" s="14">
        <v>43</v>
      </c>
      <c r="E6" s="14">
        <v>41</v>
      </c>
      <c r="F6" s="14">
        <v>38</v>
      </c>
      <c r="G6" s="14">
        <v>43</v>
      </c>
      <c r="H6" s="14">
        <v>38</v>
      </c>
      <c r="I6" s="13">
        <f t="shared" si="9"/>
        <v>3</v>
      </c>
      <c r="J6" s="13">
        <f t="shared" si="5"/>
        <v>1</v>
      </c>
      <c r="K6" s="13">
        <f t="shared" si="5"/>
        <v>0</v>
      </c>
      <c r="L6" s="13">
        <f t="shared" si="5"/>
        <v>3</v>
      </c>
      <c r="M6" s="13">
        <f t="shared" si="5"/>
        <v>0</v>
      </c>
      <c r="N6" s="10">
        <f t="shared" si="10"/>
        <v>21</v>
      </c>
      <c r="O6" s="10">
        <f t="shared" si="6"/>
        <v>7</v>
      </c>
      <c r="P6" s="10">
        <f t="shared" si="6"/>
        <v>0</v>
      </c>
      <c r="Q6" s="10">
        <f t="shared" si="6"/>
        <v>21</v>
      </c>
      <c r="R6" s="10">
        <f t="shared" si="6"/>
        <v>0</v>
      </c>
      <c r="S6" s="7">
        <f t="shared" si="11"/>
        <v>602</v>
      </c>
      <c r="T6" s="7">
        <f t="shared" si="12"/>
        <v>574</v>
      </c>
      <c r="U6" s="7">
        <f t="shared" si="13"/>
        <v>532</v>
      </c>
      <c r="V6" s="7">
        <f t="shared" si="14"/>
        <v>602</v>
      </c>
      <c r="W6" s="7">
        <f t="shared" si="15"/>
        <v>532</v>
      </c>
      <c r="X6" s="4">
        <f t="shared" si="16"/>
        <v>623</v>
      </c>
      <c r="Y6" s="4">
        <f t="shared" si="8"/>
        <v>581</v>
      </c>
      <c r="Z6" s="4">
        <f t="shared" si="8"/>
        <v>532</v>
      </c>
      <c r="AA6" s="4">
        <f t="shared" si="8"/>
        <v>623</v>
      </c>
      <c r="AB6" s="4">
        <f t="shared" si="8"/>
        <v>532</v>
      </c>
      <c r="AC6" s="1"/>
      <c r="AD6" s="1">
        <f t="shared" si="17"/>
        <v>2891</v>
      </c>
    </row>
    <row r="7" spans="1:30" x14ac:dyDescent="0.35">
      <c r="A7" t="s">
        <v>9</v>
      </c>
      <c r="B7" t="s">
        <v>10</v>
      </c>
      <c r="C7" s="1">
        <v>12</v>
      </c>
      <c r="D7" s="14">
        <v>45</v>
      </c>
      <c r="E7" s="14">
        <v>43</v>
      </c>
      <c r="F7" s="14">
        <v>41</v>
      </c>
      <c r="G7" s="14">
        <v>45</v>
      </c>
      <c r="H7" s="14">
        <v>41</v>
      </c>
      <c r="I7" s="13">
        <f t="shared" si="9"/>
        <v>5</v>
      </c>
      <c r="J7" s="13">
        <f t="shared" si="5"/>
        <v>3</v>
      </c>
      <c r="K7" s="13">
        <f t="shared" si="5"/>
        <v>1</v>
      </c>
      <c r="L7" s="13">
        <f t="shared" si="5"/>
        <v>5</v>
      </c>
      <c r="M7" s="13">
        <f t="shared" si="5"/>
        <v>1</v>
      </c>
      <c r="N7" s="10">
        <f t="shared" si="10"/>
        <v>30</v>
      </c>
      <c r="O7" s="10">
        <f t="shared" si="6"/>
        <v>18</v>
      </c>
      <c r="P7" s="10">
        <f t="shared" si="6"/>
        <v>6</v>
      </c>
      <c r="Q7" s="10">
        <f t="shared" si="6"/>
        <v>30</v>
      </c>
      <c r="R7" s="10">
        <f t="shared" si="6"/>
        <v>6</v>
      </c>
      <c r="S7" s="7">
        <f t="shared" si="11"/>
        <v>540</v>
      </c>
      <c r="T7" s="7">
        <f t="shared" si="12"/>
        <v>516</v>
      </c>
      <c r="U7" s="7">
        <f t="shared" si="13"/>
        <v>492</v>
      </c>
      <c r="V7" s="7">
        <f t="shared" si="14"/>
        <v>540</v>
      </c>
      <c r="W7" s="7">
        <f t="shared" si="15"/>
        <v>492</v>
      </c>
      <c r="X7" s="4">
        <f t="shared" si="16"/>
        <v>570</v>
      </c>
      <c r="Y7" s="4">
        <f t="shared" si="8"/>
        <v>534</v>
      </c>
      <c r="Z7" s="4">
        <f t="shared" si="8"/>
        <v>498</v>
      </c>
      <c r="AA7" s="4">
        <f t="shared" si="8"/>
        <v>570</v>
      </c>
      <c r="AB7" s="4">
        <f t="shared" si="8"/>
        <v>498</v>
      </c>
      <c r="AC7" s="1"/>
      <c r="AD7" s="1">
        <f t="shared" si="17"/>
        <v>2670</v>
      </c>
    </row>
    <row r="8" spans="1:30" x14ac:dyDescent="0.35">
      <c r="A8" t="s">
        <v>11</v>
      </c>
      <c r="B8" t="s">
        <v>12</v>
      </c>
      <c r="C8" s="1">
        <v>14</v>
      </c>
      <c r="D8" s="14">
        <v>40</v>
      </c>
      <c r="E8" s="14">
        <v>47</v>
      </c>
      <c r="F8" s="14">
        <v>43</v>
      </c>
      <c r="G8" s="14">
        <v>40</v>
      </c>
      <c r="H8" s="14">
        <v>43</v>
      </c>
      <c r="I8" s="13">
        <f t="shared" si="9"/>
        <v>0</v>
      </c>
      <c r="J8" s="13">
        <f t="shared" si="5"/>
        <v>7</v>
      </c>
      <c r="K8" s="13">
        <f t="shared" si="5"/>
        <v>3</v>
      </c>
      <c r="L8" s="13">
        <f t="shared" si="5"/>
        <v>0</v>
      </c>
      <c r="M8" s="13">
        <f t="shared" si="5"/>
        <v>3</v>
      </c>
      <c r="N8" s="10">
        <f t="shared" si="10"/>
        <v>0</v>
      </c>
      <c r="O8" s="10">
        <f t="shared" si="6"/>
        <v>49</v>
      </c>
      <c r="P8" s="10">
        <f t="shared" si="6"/>
        <v>21</v>
      </c>
      <c r="Q8" s="10">
        <f t="shared" si="6"/>
        <v>0</v>
      </c>
      <c r="R8" s="10">
        <f t="shared" si="6"/>
        <v>21</v>
      </c>
      <c r="S8" s="7">
        <f t="shared" si="11"/>
        <v>560</v>
      </c>
      <c r="T8" s="7">
        <f t="shared" si="12"/>
        <v>658</v>
      </c>
      <c r="U8" s="7">
        <f t="shared" si="13"/>
        <v>602</v>
      </c>
      <c r="V8" s="7">
        <f t="shared" si="14"/>
        <v>560</v>
      </c>
      <c r="W8" s="7">
        <f t="shared" si="15"/>
        <v>602</v>
      </c>
      <c r="X8" s="4">
        <f t="shared" si="16"/>
        <v>560</v>
      </c>
      <c r="Y8" s="4">
        <f t="shared" si="8"/>
        <v>707</v>
      </c>
      <c r="Z8" s="4">
        <f t="shared" si="8"/>
        <v>623</v>
      </c>
      <c r="AA8" s="4">
        <f t="shared" si="8"/>
        <v>560</v>
      </c>
      <c r="AB8" s="4">
        <f t="shared" si="8"/>
        <v>623</v>
      </c>
      <c r="AC8" s="1"/>
      <c r="AD8" s="1">
        <f t="shared" si="17"/>
        <v>3073</v>
      </c>
    </row>
    <row r="9" spans="1:30" x14ac:dyDescent="0.35">
      <c r="A9" t="s">
        <v>13</v>
      </c>
      <c r="B9" t="s">
        <v>14</v>
      </c>
      <c r="C9" s="1">
        <v>15</v>
      </c>
      <c r="D9" s="14">
        <v>45</v>
      </c>
      <c r="E9" s="14">
        <v>40</v>
      </c>
      <c r="F9" s="14">
        <v>45</v>
      </c>
      <c r="G9" s="14">
        <v>45</v>
      </c>
      <c r="H9" s="14">
        <v>45</v>
      </c>
      <c r="I9" s="13">
        <f t="shared" si="9"/>
        <v>5</v>
      </c>
      <c r="J9" s="13">
        <f t="shared" si="5"/>
        <v>0</v>
      </c>
      <c r="K9" s="13">
        <f t="shared" si="5"/>
        <v>5</v>
      </c>
      <c r="L9" s="13">
        <f t="shared" si="5"/>
        <v>5</v>
      </c>
      <c r="M9" s="13">
        <f t="shared" si="5"/>
        <v>5</v>
      </c>
      <c r="N9" s="10">
        <f t="shared" si="10"/>
        <v>37.5</v>
      </c>
      <c r="O9" s="10">
        <f t="shared" si="6"/>
        <v>0</v>
      </c>
      <c r="P9" s="10">
        <f t="shared" si="6"/>
        <v>37.5</v>
      </c>
      <c r="Q9" s="10">
        <f t="shared" si="6"/>
        <v>37.5</v>
      </c>
      <c r="R9" s="10">
        <f t="shared" si="6"/>
        <v>37.5</v>
      </c>
      <c r="S9" s="7">
        <f t="shared" si="11"/>
        <v>675</v>
      </c>
      <c r="T9" s="7">
        <f t="shared" si="12"/>
        <v>600</v>
      </c>
      <c r="U9" s="7">
        <f t="shared" si="13"/>
        <v>675</v>
      </c>
      <c r="V9" s="7">
        <f t="shared" si="14"/>
        <v>675</v>
      </c>
      <c r="W9" s="7">
        <f t="shared" si="15"/>
        <v>675</v>
      </c>
      <c r="X9" s="4">
        <f t="shared" si="16"/>
        <v>712.5</v>
      </c>
      <c r="Y9" s="4">
        <f t="shared" si="8"/>
        <v>600</v>
      </c>
      <c r="Z9" s="4">
        <f t="shared" si="8"/>
        <v>712.5</v>
      </c>
      <c r="AA9" s="4">
        <f t="shared" si="8"/>
        <v>712.5</v>
      </c>
      <c r="AB9" s="4">
        <f t="shared" si="8"/>
        <v>712.5</v>
      </c>
      <c r="AC9" s="1"/>
      <c r="AD9" s="1">
        <f t="shared" si="17"/>
        <v>3450</v>
      </c>
    </row>
    <row r="10" spans="1:30" x14ac:dyDescent="0.35">
      <c r="A10" t="s">
        <v>15</v>
      </c>
      <c r="B10" t="s">
        <v>12</v>
      </c>
      <c r="C10" s="1">
        <v>15</v>
      </c>
      <c r="D10" s="14">
        <v>43</v>
      </c>
      <c r="E10" s="14">
        <v>44</v>
      </c>
      <c r="F10" s="14">
        <v>43</v>
      </c>
      <c r="G10" s="14">
        <v>43</v>
      </c>
      <c r="H10" s="14">
        <v>43</v>
      </c>
      <c r="I10" s="13">
        <f t="shared" si="9"/>
        <v>3</v>
      </c>
      <c r="J10" s="13">
        <f t="shared" si="5"/>
        <v>4</v>
      </c>
      <c r="K10" s="13">
        <f t="shared" si="5"/>
        <v>3</v>
      </c>
      <c r="L10" s="13">
        <f t="shared" si="5"/>
        <v>3</v>
      </c>
      <c r="M10" s="13">
        <f t="shared" si="5"/>
        <v>3</v>
      </c>
      <c r="N10" s="10">
        <f t="shared" si="10"/>
        <v>22.5</v>
      </c>
      <c r="O10" s="10">
        <f t="shared" si="6"/>
        <v>30</v>
      </c>
      <c r="P10" s="10">
        <f t="shared" si="6"/>
        <v>22.5</v>
      </c>
      <c r="Q10" s="10">
        <f t="shared" si="6"/>
        <v>22.5</v>
      </c>
      <c r="R10" s="10">
        <f t="shared" si="6"/>
        <v>22.5</v>
      </c>
      <c r="S10" s="7">
        <f t="shared" si="11"/>
        <v>645</v>
      </c>
      <c r="T10" s="7">
        <f t="shared" si="12"/>
        <v>660</v>
      </c>
      <c r="U10" s="7">
        <f t="shared" si="13"/>
        <v>645</v>
      </c>
      <c r="V10" s="7">
        <f t="shared" si="14"/>
        <v>645</v>
      </c>
      <c r="W10" s="7">
        <f t="shared" si="15"/>
        <v>645</v>
      </c>
      <c r="X10" s="4">
        <f t="shared" si="16"/>
        <v>667.5</v>
      </c>
      <c r="Y10" s="4">
        <f t="shared" si="8"/>
        <v>690</v>
      </c>
      <c r="Z10" s="4">
        <f t="shared" si="8"/>
        <v>667.5</v>
      </c>
      <c r="AA10" s="4">
        <f t="shared" si="8"/>
        <v>667.5</v>
      </c>
      <c r="AB10" s="4">
        <f t="shared" si="8"/>
        <v>667.5</v>
      </c>
      <c r="AC10" s="1"/>
      <c r="AD10" s="1">
        <f t="shared" si="17"/>
        <v>3360</v>
      </c>
    </row>
    <row r="11" spans="1:30" x14ac:dyDescent="0.35">
      <c r="A11" t="s">
        <v>16</v>
      </c>
      <c r="B11" t="s">
        <v>17</v>
      </c>
      <c r="C11" s="1">
        <v>12</v>
      </c>
      <c r="D11" s="14">
        <v>40</v>
      </c>
      <c r="E11" s="14">
        <v>45</v>
      </c>
      <c r="F11" s="14">
        <v>41</v>
      </c>
      <c r="G11" s="14">
        <v>40</v>
      </c>
      <c r="H11" s="14">
        <v>41</v>
      </c>
      <c r="I11" s="13">
        <f t="shared" si="9"/>
        <v>0</v>
      </c>
      <c r="J11" s="13">
        <f t="shared" si="5"/>
        <v>5</v>
      </c>
      <c r="K11" s="13">
        <f t="shared" si="5"/>
        <v>1</v>
      </c>
      <c r="L11" s="13">
        <f t="shared" si="5"/>
        <v>0</v>
      </c>
      <c r="M11" s="13">
        <f t="shared" si="5"/>
        <v>1</v>
      </c>
      <c r="N11" s="10">
        <f t="shared" si="10"/>
        <v>0</v>
      </c>
      <c r="O11" s="10">
        <f t="shared" si="6"/>
        <v>30</v>
      </c>
      <c r="P11" s="10">
        <f t="shared" si="6"/>
        <v>6</v>
      </c>
      <c r="Q11" s="10">
        <f t="shared" si="6"/>
        <v>0</v>
      </c>
      <c r="R11" s="10">
        <f t="shared" si="6"/>
        <v>6</v>
      </c>
      <c r="S11" s="7">
        <f t="shared" si="11"/>
        <v>480</v>
      </c>
      <c r="T11" s="7">
        <f t="shared" si="12"/>
        <v>540</v>
      </c>
      <c r="U11" s="7">
        <f t="shared" si="13"/>
        <v>492</v>
      </c>
      <c r="V11" s="7">
        <f t="shared" si="14"/>
        <v>480</v>
      </c>
      <c r="W11" s="7">
        <f t="shared" si="15"/>
        <v>492</v>
      </c>
      <c r="X11" s="4">
        <f t="shared" si="16"/>
        <v>480</v>
      </c>
      <c r="Y11" s="4">
        <f t="shared" si="8"/>
        <v>570</v>
      </c>
      <c r="Z11" s="4">
        <f t="shared" si="8"/>
        <v>498</v>
      </c>
      <c r="AA11" s="4">
        <f t="shared" si="8"/>
        <v>480</v>
      </c>
      <c r="AB11" s="4">
        <f t="shared" si="8"/>
        <v>498</v>
      </c>
      <c r="AC11" s="1"/>
      <c r="AD11" s="1">
        <f t="shared" si="17"/>
        <v>2526</v>
      </c>
    </row>
    <row r="12" spans="1:30" x14ac:dyDescent="0.35">
      <c r="A12" t="s">
        <v>18</v>
      </c>
      <c r="B12" t="s">
        <v>19</v>
      </c>
      <c r="C12" s="1">
        <v>13</v>
      </c>
      <c r="D12" s="14">
        <v>38</v>
      </c>
      <c r="E12" s="14">
        <v>43</v>
      </c>
      <c r="F12" s="14">
        <v>43</v>
      </c>
      <c r="G12" s="14">
        <v>38</v>
      </c>
      <c r="H12" s="14">
        <v>43</v>
      </c>
      <c r="I12" s="13">
        <f t="shared" si="9"/>
        <v>0</v>
      </c>
      <c r="J12" s="13">
        <f t="shared" si="5"/>
        <v>3</v>
      </c>
      <c r="K12" s="13">
        <f t="shared" si="5"/>
        <v>3</v>
      </c>
      <c r="L12" s="13">
        <f t="shared" si="5"/>
        <v>0</v>
      </c>
      <c r="M12" s="13">
        <f t="shared" si="5"/>
        <v>3</v>
      </c>
      <c r="N12" s="10">
        <f t="shared" si="10"/>
        <v>0</v>
      </c>
      <c r="O12" s="10">
        <f t="shared" si="6"/>
        <v>19.5</v>
      </c>
      <c r="P12" s="10">
        <f t="shared" si="6"/>
        <v>19.5</v>
      </c>
      <c r="Q12" s="10">
        <f t="shared" si="6"/>
        <v>0</v>
      </c>
      <c r="R12" s="10">
        <f t="shared" si="6"/>
        <v>19.5</v>
      </c>
      <c r="S12" s="7">
        <f t="shared" si="11"/>
        <v>494</v>
      </c>
      <c r="T12" s="7">
        <f t="shared" si="12"/>
        <v>559</v>
      </c>
      <c r="U12" s="7">
        <f t="shared" si="13"/>
        <v>559</v>
      </c>
      <c r="V12" s="7">
        <f t="shared" si="14"/>
        <v>494</v>
      </c>
      <c r="W12" s="7">
        <f t="shared" si="15"/>
        <v>559</v>
      </c>
      <c r="X12" s="4">
        <f t="shared" si="16"/>
        <v>494</v>
      </c>
      <c r="Y12" s="4">
        <f t="shared" si="8"/>
        <v>578.5</v>
      </c>
      <c r="Z12" s="4">
        <f t="shared" si="8"/>
        <v>578.5</v>
      </c>
      <c r="AA12" s="4">
        <f t="shared" si="8"/>
        <v>494</v>
      </c>
      <c r="AB12" s="4">
        <f t="shared" si="8"/>
        <v>578.5</v>
      </c>
      <c r="AC12" s="1"/>
      <c r="AD12" s="1">
        <f t="shared" si="17"/>
        <v>2723.5</v>
      </c>
    </row>
    <row r="13" spans="1:30" x14ac:dyDescent="0.35">
      <c r="A13" t="s">
        <v>20</v>
      </c>
      <c r="B13" t="s">
        <v>14</v>
      </c>
      <c r="C13" s="1">
        <v>12</v>
      </c>
      <c r="D13" s="14">
        <v>45</v>
      </c>
      <c r="E13" s="14">
        <v>41</v>
      </c>
      <c r="F13" s="14">
        <v>46</v>
      </c>
      <c r="G13" s="14">
        <v>45</v>
      </c>
      <c r="H13" s="14">
        <v>46</v>
      </c>
      <c r="I13" s="13">
        <f t="shared" si="9"/>
        <v>5</v>
      </c>
      <c r="J13" s="13">
        <f t="shared" si="5"/>
        <v>1</v>
      </c>
      <c r="K13" s="13">
        <f t="shared" si="5"/>
        <v>6</v>
      </c>
      <c r="L13" s="13">
        <f t="shared" si="5"/>
        <v>5</v>
      </c>
      <c r="M13" s="13">
        <f t="shared" si="5"/>
        <v>6</v>
      </c>
      <c r="N13" s="10">
        <f t="shared" si="10"/>
        <v>30</v>
      </c>
      <c r="O13" s="10">
        <f t="shared" si="6"/>
        <v>6</v>
      </c>
      <c r="P13" s="10">
        <f t="shared" si="6"/>
        <v>36</v>
      </c>
      <c r="Q13" s="10">
        <f t="shared" si="6"/>
        <v>30</v>
      </c>
      <c r="R13" s="10">
        <f t="shared" si="6"/>
        <v>36</v>
      </c>
      <c r="S13" s="7">
        <f t="shared" si="11"/>
        <v>540</v>
      </c>
      <c r="T13" s="7">
        <f t="shared" si="12"/>
        <v>492</v>
      </c>
      <c r="U13" s="7">
        <f t="shared" si="13"/>
        <v>552</v>
      </c>
      <c r="V13" s="7">
        <f t="shared" si="14"/>
        <v>540</v>
      </c>
      <c r="W13" s="7">
        <f t="shared" si="15"/>
        <v>552</v>
      </c>
      <c r="X13" s="4">
        <f t="shared" si="16"/>
        <v>570</v>
      </c>
      <c r="Y13" s="4">
        <f t="shared" si="8"/>
        <v>498</v>
      </c>
      <c r="Z13" s="4">
        <f t="shared" si="8"/>
        <v>588</v>
      </c>
      <c r="AA13" s="4">
        <f t="shared" si="8"/>
        <v>570</v>
      </c>
      <c r="AB13" s="4">
        <f t="shared" si="8"/>
        <v>588</v>
      </c>
      <c r="AC13" s="1"/>
      <c r="AD13" s="1">
        <f t="shared" si="17"/>
        <v>2814</v>
      </c>
    </row>
    <row r="14" spans="1:30" x14ac:dyDescent="0.35">
      <c r="A14" t="s">
        <v>21</v>
      </c>
      <c r="B14" t="s">
        <v>22</v>
      </c>
      <c r="C14" s="1">
        <v>17</v>
      </c>
      <c r="D14" s="14">
        <v>41</v>
      </c>
      <c r="E14" s="14">
        <v>41</v>
      </c>
      <c r="F14" s="14">
        <v>41</v>
      </c>
      <c r="G14" s="14">
        <v>41</v>
      </c>
      <c r="H14" s="14">
        <v>41</v>
      </c>
      <c r="I14" s="13">
        <f t="shared" si="9"/>
        <v>1</v>
      </c>
      <c r="J14" s="13">
        <f t="shared" si="5"/>
        <v>1</v>
      </c>
      <c r="K14" s="13">
        <f t="shared" si="5"/>
        <v>1</v>
      </c>
      <c r="L14" s="13">
        <f t="shared" si="5"/>
        <v>1</v>
      </c>
      <c r="M14" s="13">
        <f t="shared" si="5"/>
        <v>1</v>
      </c>
      <c r="N14" s="10">
        <f t="shared" si="10"/>
        <v>8.5</v>
      </c>
      <c r="O14" s="10">
        <f t="shared" si="6"/>
        <v>8.5</v>
      </c>
      <c r="P14" s="10">
        <f t="shared" si="6"/>
        <v>8.5</v>
      </c>
      <c r="Q14" s="10">
        <f t="shared" si="6"/>
        <v>8.5</v>
      </c>
      <c r="R14" s="10">
        <f t="shared" si="6"/>
        <v>8.5</v>
      </c>
      <c r="S14" s="7">
        <f t="shared" si="11"/>
        <v>697</v>
      </c>
      <c r="T14" s="7">
        <f t="shared" si="12"/>
        <v>697</v>
      </c>
      <c r="U14" s="7">
        <f t="shared" si="13"/>
        <v>697</v>
      </c>
      <c r="V14" s="7">
        <f t="shared" si="14"/>
        <v>697</v>
      </c>
      <c r="W14" s="7">
        <f t="shared" si="15"/>
        <v>697</v>
      </c>
      <c r="X14" s="4">
        <f t="shared" si="16"/>
        <v>705.5</v>
      </c>
      <c r="Y14" s="4">
        <f t="shared" si="8"/>
        <v>705.5</v>
      </c>
      <c r="Z14" s="4">
        <f t="shared" si="8"/>
        <v>705.5</v>
      </c>
      <c r="AA14" s="4">
        <f t="shared" si="8"/>
        <v>705.5</v>
      </c>
      <c r="AB14" s="4">
        <f>R14+W14</f>
        <v>705.5</v>
      </c>
      <c r="AC14" s="1"/>
      <c r="AD14" s="1">
        <f t="shared" si="17"/>
        <v>3527.5</v>
      </c>
    </row>
    <row r="16" spans="1:30" x14ac:dyDescent="0.35">
      <c r="AD16" s="19" t="s">
        <v>33</v>
      </c>
    </row>
    <row r="17" spans="1:30" x14ac:dyDescent="0.35">
      <c r="A17" t="s">
        <v>29</v>
      </c>
      <c r="D17">
        <f>MAX(D4:D14)</f>
        <v>45</v>
      </c>
      <c r="E17">
        <f>MAX(E4:E14)</f>
        <v>47</v>
      </c>
      <c r="F17">
        <f t="shared" ref="E17:AB17" si="18">MAX(F4:F14)</f>
        <v>46</v>
      </c>
      <c r="G17">
        <f t="shared" si="18"/>
        <v>45</v>
      </c>
      <c r="H17">
        <f t="shared" si="18"/>
        <v>46</v>
      </c>
      <c r="I17">
        <f t="shared" si="18"/>
        <v>5</v>
      </c>
      <c r="J17">
        <f t="shared" si="18"/>
        <v>7</v>
      </c>
      <c r="K17">
        <f t="shared" si="18"/>
        <v>6</v>
      </c>
      <c r="L17">
        <f t="shared" si="18"/>
        <v>5</v>
      </c>
      <c r="M17">
        <f t="shared" si="18"/>
        <v>6</v>
      </c>
      <c r="N17" s="17">
        <f t="shared" si="18"/>
        <v>37.5</v>
      </c>
      <c r="O17" s="17">
        <f t="shared" si="18"/>
        <v>49</v>
      </c>
      <c r="P17" s="17">
        <f t="shared" si="18"/>
        <v>37.5</v>
      </c>
      <c r="Q17" s="17">
        <f t="shared" si="18"/>
        <v>37.5</v>
      </c>
      <c r="R17" s="17">
        <f t="shared" si="18"/>
        <v>37.5</v>
      </c>
      <c r="S17" s="1">
        <f t="shared" si="18"/>
        <v>697</v>
      </c>
      <c r="T17" s="1">
        <f t="shared" si="18"/>
        <v>697</v>
      </c>
      <c r="U17" s="1">
        <f t="shared" si="18"/>
        <v>697</v>
      </c>
      <c r="V17" s="1">
        <f t="shared" si="18"/>
        <v>697</v>
      </c>
      <c r="W17" s="1">
        <f t="shared" si="18"/>
        <v>697</v>
      </c>
      <c r="X17" s="1">
        <f t="shared" si="18"/>
        <v>712.5</v>
      </c>
      <c r="Y17" s="1">
        <f t="shared" si="18"/>
        <v>707</v>
      </c>
      <c r="Z17" s="1">
        <f t="shared" si="18"/>
        <v>712.5</v>
      </c>
      <c r="AA17" s="1">
        <f t="shared" si="18"/>
        <v>712.5</v>
      </c>
      <c r="AB17" s="1">
        <f t="shared" si="18"/>
        <v>712.5</v>
      </c>
      <c r="AD17" s="18">
        <f>SUM(AD4:AD14)</f>
        <v>31916</v>
      </c>
    </row>
    <row r="18" spans="1:30" x14ac:dyDescent="0.35">
      <c r="A18" t="s">
        <v>30</v>
      </c>
      <c r="D18">
        <f>MIN(D4:D14)</f>
        <v>38</v>
      </c>
      <c r="E18">
        <f t="shared" ref="E18:AB18" si="19">MIN(E4:E14)</f>
        <v>40</v>
      </c>
      <c r="F18">
        <f t="shared" si="19"/>
        <v>34</v>
      </c>
      <c r="G18">
        <f t="shared" si="19"/>
        <v>38</v>
      </c>
      <c r="H18">
        <f t="shared" si="19"/>
        <v>34</v>
      </c>
      <c r="I18">
        <f t="shared" si="19"/>
        <v>0</v>
      </c>
      <c r="J18">
        <f t="shared" si="19"/>
        <v>0</v>
      </c>
      <c r="K18">
        <f t="shared" si="19"/>
        <v>0</v>
      </c>
      <c r="L18">
        <f t="shared" si="19"/>
        <v>0</v>
      </c>
      <c r="M18">
        <f t="shared" si="19"/>
        <v>0</v>
      </c>
      <c r="N18" s="17">
        <f t="shared" si="19"/>
        <v>0</v>
      </c>
      <c r="O18" s="17">
        <f t="shared" si="19"/>
        <v>0</v>
      </c>
      <c r="P18" s="17">
        <f t="shared" si="19"/>
        <v>0</v>
      </c>
      <c r="Q18" s="17">
        <f t="shared" si="19"/>
        <v>0</v>
      </c>
      <c r="R18" s="17">
        <f t="shared" si="19"/>
        <v>0</v>
      </c>
      <c r="S18" s="1">
        <f t="shared" si="19"/>
        <v>480</v>
      </c>
      <c r="T18" s="1">
        <f t="shared" si="19"/>
        <v>492</v>
      </c>
      <c r="U18" s="1">
        <f t="shared" si="19"/>
        <v>408</v>
      </c>
      <c r="V18" s="1">
        <f t="shared" si="19"/>
        <v>480</v>
      </c>
      <c r="W18" s="1">
        <f t="shared" si="19"/>
        <v>408</v>
      </c>
      <c r="X18" s="1">
        <f t="shared" si="19"/>
        <v>480</v>
      </c>
      <c r="Y18" s="1">
        <f t="shared" si="19"/>
        <v>498</v>
      </c>
      <c r="Z18" s="1">
        <f t="shared" si="19"/>
        <v>408</v>
      </c>
      <c r="AA18" s="1">
        <f t="shared" si="19"/>
        <v>480</v>
      </c>
      <c r="AB18" s="1">
        <f t="shared" si="19"/>
        <v>408</v>
      </c>
    </row>
    <row r="19" spans="1:30" x14ac:dyDescent="0.35">
      <c r="A19" t="s">
        <v>31</v>
      </c>
      <c r="D19" s="16">
        <f>AVERAGE(D4:D14)</f>
        <v>41.727272727272727</v>
      </c>
      <c r="E19" s="16">
        <f t="shared" ref="E19:AB19" si="20">AVERAGE(E4:E14)</f>
        <v>42.727272727272727</v>
      </c>
      <c r="F19" s="16">
        <f t="shared" si="20"/>
        <v>41.18181818181818</v>
      </c>
      <c r="G19" s="16">
        <f t="shared" si="20"/>
        <v>41.727272727272727</v>
      </c>
      <c r="H19" s="16">
        <f t="shared" si="20"/>
        <v>41.18181818181818</v>
      </c>
      <c r="I19" s="16">
        <f t="shared" si="20"/>
        <v>2.0909090909090908</v>
      </c>
      <c r="J19" s="16">
        <f t="shared" si="20"/>
        <v>2.7272727272727271</v>
      </c>
      <c r="K19" s="16">
        <f t="shared" si="20"/>
        <v>2.0909090909090908</v>
      </c>
      <c r="L19" s="16">
        <f t="shared" si="20"/>
        <v>2.0909090909090908</v>
      </c>
      <c r="M19" s="16">
        <f t="shared" si="20"/>
        <v>2.0909090909090908</v>
      </c>
      <c r="N19" s="17">
        <f t="shared" si="20"/>
        <v>14.136363636363637</v>
      </c>
      <c r="O19" s="17">
        <f t="shared" si="20"/>
        <v>18.09090909090909</v>
      </c>
      <c r="P19" s="17">
        <f t="shared" si="20"/>
        <v>14.272727272727273</v>
      </c>
      <c r="Q19" s="17">
        <f t="shared" si="20"/>
        <v>14.136363636363637</v>
      </c>
      <c r="R19" s="17">
        <f t="shared" si="20"/>
        <v>14.272727272727273</v>
      </c>
      <c r="S19" s="1">
        <f t="shared" si="20"/>
        <v>565.36363636363637</v>
      </c>
      <c r="T19" s="1">
        <f t="shared" si="20"/>
        <v>578</v>
      </c>
      <c r="U19" s="1">
        <f t="shared" si="20"/>
        <v>558.90909090909088</v>
      </c>
      <c r="V19" s="1">
        <f t="shared" si="20"/>
        <v>565.36363636363637</v>
      </c>
      <c r="W19" s="1">
        <f t="shared" si="20"/>
        <v>558.90909090909088</v>
      </c>
      <c r="X19" s="1">
        <f t="shared" si="20"/>
        <v>579.5</v>
      </c>
      <c r="Y19" s="1">
        <f t="shared" si="20"/>
        <v>596.09090909090912</v>
      </c>
      <c r="Z19" s="1">
        <f t="shared" si="20"/>
        <v>573.18181818181813</v>
      </c>
      <c r="AA19" s="1">
        <f t="shared" si="20"/>
        <v>579.5</v>
      </c>
      <c r="AB19" s="1">
        <f t="shared" si="20"/>
        <v>573.18181818181813</v>
      </c>
    </row>
  </sheetData>
  <conditionalFormatting sqref="AD4:AD14">
    <cfRule type="cellIs" dxfId="0" priority="2" operator="greaterThan">
      <formula>" $2,936.75 "</formula>
    </cfRule>
    <cfRule type="aboveAverage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MCTI</dc:creator>
  <cp:lastModifiedBy>MCTI</cp:lastModifiedBy>
  <dcterms:created xsi:type="dcterms:W3CDTF">2026-04-29T16:38:27Z</dcterms:created>
  <dcterms:modified xsi:type="dcterms:W3CDTF">2026-04-29T20:38:17Z</dcterms:modified>
</cp:coreProperties>
</file>